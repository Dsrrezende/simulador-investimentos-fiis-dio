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ougl\Downloads\"/>
    </mc:Choice>
  </mc:AlternateContent>
  <xr:revisionPtr revIDLastSave="0" documentId="13_ncr:1_{7880C827-AEA8-4BAB-AC55-D9C3FA21F547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imulador" sheetId="1" r:id="rId1"/>
    <sheet name="Apoio" sheetId="2" r:id="rId2"/>
  </sheets>
  <definedNames>
    <definedName name="anos">Simulador!$C$7</definedName>
    <definedName name="aporte">Simulador!$C$6</definedName>
    <definedName name="dividendos_mensais">Simulador!$C$13</definedName>
    <definedName name="lista_perfis">Apoio!$F$2:$F$4</definedName>
    <definedName name="patrimonio">Simulador!$C$12</definedName>
    <definedName name="perc_aporte">Simulador!$C$27</definedName>
    <definedName name="perfil">Simulador!$C$34</definedName>
    <definedName name="prazo_meses">Simulador!$C$9</definedName>
    <definedName name="rendimento_carteira">Simulador!$C$26</definedName>
    <definedName name="salario">Simulador!$C$25</definedName>
    <definedName name="sugestao_aporte">Simulador!$C$28</definedName>
    <definedName name="tabela_perfil">Apoio!$A$2:$D$19</definedName>
    <definedName name="taxa_mensal">Simulador!$C$8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1" l="1"/>
  <c r="C18" i="1" s="1"/>
  <c r="D18" i="1" s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G4" i="2"/>
  <c r="A4" i="2"/>
  <c r="G3" i="2"/>
  <c r="A3" i="2"/>
  <c r="G2" i="2"/>
  <c r="A2" i="2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28" i="1"/>
  <c r="C9" i="1"/>
  <c r="C14" i="1" s="1"/>
  <c r="D42" i="1" l="1"/>
  <c r="C42" i="1"/>
  <c r="E42" i="1" s="1"/>
  <c r="C19" i="1"/>
  <c r="D19" i="1" s="1"/>
  <c r="C20" i="1"/>
  <c r="D20" i="1" s="1"/>
  <c r="C21" i="1"/>
  <c r="D21" i="1" s="1"/>
  <c r="C22" i="1"/>
  <c r="D22" i="1" s="1"/>
  <c r="C12" i="1"/>
  <c r="C13" i="1" s="1"/>
  <c r="C30" i="1"/>
  <c r="C31" i="1" s="1"/>
</calcChain>
</file>

<file path=xl/sharedStrings.xml><?xml version="1.0" encoding="utf-8"?>
<sst xmlns="http://schemas.openxmlformats.org/spreadsheetml/2006/main" count="85" uniqueCount="46">
  <si>
    <t>SIMULADOR DE FUNDOS IMOBILIÁRIOS  |  Do aporte de cada mês aos dividendos que ele rende</t>
  </si>
  <si>
    <t>Legenda:  células amarelas (letra azul) = você edita  |  células cinzas = calculadas, não edite</t>
  </si>
  <si>
    <t>1. SUA SIMULAÇÃO</t>
  </si>
  <si>
    <t>Quanto investir por mês (R$)</t>
  </si>
  <si>
    <t>← valor de exemplo</t>
  </si>
  <si>
    <t>Por quantos anos</t>
  </si>
  <si>
    <t>Taxa de rendimento mensal</t>
  </si>
  <si>
    <t>← vem das Configurações (seção 3)</t>
  </si>
  <si>
    <t>Prazo em meses</t>
  </si>
  <si>
    <t>RESULTADOS</t>
  </si>
  <si>
    <t>Quanto de patrimônio vai acumular</t>
  </si>
  <si>
    <t>Quanto vai receber de dividendos por mês</t>
  </si>
  <si>
    <t>Total que você investiu do próprio bolso</t>
  </si>
  <si>
    <t>2. CENÁRIOS DE 2 A 30 ANOS (mesmo aporte e mesma taxa)</t>
  </si>
  <si>
    <t>Prazo</t>
  </si>
  <si>
    <t>Patrimônio acumulado</t>
  </si>
  <si>
    <t>Dividendos mensais</t>
  </si>
  <si>
    <t>3. CONFIGURAÇÕES</t>
  </si>
  <si>
    <t>Salário mensal (R$)</t>
  </si>
  <si>
    <t>Rendimento da carteira (ao mês)</t>
  </si>
  <si>
    <t>← exemplo: 0,8% a.m.</t>
  </si>
  <si>
    <t>% do salário sugerido para aportar</t>
  </si>
  <si>
    <t>Sugestão de aporte mensal</t>
  </si>
  <si>
    <t>Com a sugestão de aporte: patrimônio</t>
  </si>
  <si>
    <t>Com a sugestão de aporte: dividendos/mês</t>
  </si>
  <si>
    <t>4. COMO DIVIDIR O APORTE POR PERFIL</t>
  </si>
  <si>
    <t>Perfil do investidor (escolha na lista)</t>
  </si>
  <si>
    <t>Moderado</t>
  </si>
  <si>
    <t>Tipo de fundo</t>
  </si>
  <si>
    <t>% do aporte</t>
  </si>
  <si>
    <t>Valor (R$)</t>
  </si>
  <si>
    <t>Logística</t>
  </si>
  <si>
    <t>Lajes Corporativas</t>
  </si>
  <si>
    <t>Shoppings</t>
  </si>
  <si>
    <t>Papel (CRI)</t>
  </si>
  <si>
    <t>Fundo de Fundos</t>
  </si>
  <si>
    <t>Híbrido</t>
  </si>
  <si>
    <t>Total</t>
  </si>
  <si>
    <t>Chave (perfil|tipo)</t>
  </si>
  <si>
    <t>Perfil</t>
  </si>
  <si>
    <t>Percentual</t>
  </si>
  <si>
    <t>Perfis</t>
  </si>
  <si>
    <t>Soma</t>
  </si>
  <si>
    <t>Conservador</t>
  </si>
  <si>
    <t>Arrojado</t>
  </si>
  <si>
    <t>Percentuais de exemplo, sem caráter de recomendação de investimento. Cada perfil deve somar 100%. A chave (coluna A) junta perfil e tipo para o PROCV.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</si>
</sst>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.00;&quot;(R$ &quot;#,##0.00\);\-"/>
    <numFmt numFmtId="165" formatCode="0&quot; anos&quot;"/>
    <numFmt numFmtId="166" formatCode="0&quot; meses&quot;"/>
    <numFmt numFmtId="167" formatCode="0.0%"/>
  </numFmts>
  <fonts count="8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8DC"/>
        <bgColor rgb="FFFFFFFF"/>
      </patternFill>
    </fill>
    <fill>
      <patternFill patternType="solid">
        <fgColor rgb="FFE7E6E6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0" fontId="4" fillId="4" borderId="1" xfId="0" applyNumberFormat="1" applyFont="1" applyFill="1" applyBorder="1"/>
    <xf numFmtId="166" fontId="4" fillId="4" borderId="1" xfId="0" applyNumberFormat="1" applyFont="1" applyFill="1" applyBorder="1"/>
    <xf numFmtId="0" fontId="6" fillId="0" borderId="1" xfId="0" applyFont="1" applyBorder="1"/>
    <xf numFmtId="164" fontId="6" fillId="4" borderId="1" xfId="0" applyNumberFormat="1" applyFont="1" applyFill="1" applyBorder="1"/>
    <xf numFmtId="164" fontId="4" fillId="4" borderId="1" xfId="0" applyNumberFormat="1" applyFont="1" applyFill="1" applyBorder="1"/>
    <xf numFmtId="0" fontId="6" fillId="4" borderId="1" xfId="0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10" fontId="5" fillId="3" borderId="1" xfId="0" applyNumberFormat="1" applyFont="1" applyFill="1" applyBorder="1"/>
    <xf numFmtId="167" fontId="5" fillId="3" borderId="1" xfId="0" applyNumberFormat="1" applyFont="1" applyFill="1" applyBorder="1"/>
    <xf numFmtId="0" fontId="7" fillId="3" borderId="1" xfId="0" applyFont="1" applyFill="1" applyBorder="1" applyAlignment="1">
      <alignment horizontal="center"/>
    </xf>
    <xf numFmtId="167" fontId="4" fillId="4" borderId="1" xfId="0" applyNumberFormat="1" applyFont="1" applyFill="1" applyBorder="1"/>
    <xf numFmtId="0" fontId="6" fillId="4" borderId="1" xfId="0" applyFont="1" applyFill="1" applyBorder="1"/>
    <xf numFmtId="167" fontId="6" fillId="4" borderId="1" xfId="0" applyNumberFormat="1" applyFont="1" applyFill="1" applyBorder="1"/>
    <xf numFmtId="0" fontId="3" fillId="2" borderId="1" xfId="0" applyFont="1" applyFill="1" applyBorder="1"/>
    <xf numFmtId="0" fontId="4" fillId="4" borderId="1" xfId="0" applyFont="1" applyFill="1" applyBorder="1"/>
    <xf numFmtId="9" fontId="5" fillId="3" borderId="1" xfId="0" applyNumberFormat="1" applyFont="1" applyFill="1" applyBorder="1"/>
    <xf numFmtId="9" fontId="4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8DC"/>
      <rgbColor rgb="FFE7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79646"/>
      <rgbColor rgb="FFFF6600"/>
      <rgbColor rgb="FF8064A2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Divisão do aporte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Simulador!$D$35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61B-4DD7-BE41-8279F8BD2CF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61B-4DD7-BE41-8279F8BD2CF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61B-4DD7-BE41-8279F8BD2CF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61B-4DD7-BE41-8279F8BD2CFF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61B-4DD7-BE41-8279F8BD2CFF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861B-4DD7-BE41-8279F8BD2CF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61B-4DD7-BE41-8279F8BD2CF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61B-4DD7-BE41-8279F8BD2CF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61B-4DD7-BE41-8279F8BD2CF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861B-4DD7-BE41-8279F8BD2CF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861B-4DD7-BE41-8279F8BD2CFF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861B-4DD7-BE41-8279F8BD2C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Simulador!$B$36:$B$41</c:f>
              <c:strCache>
                <c:ptCount val="6"/>
                <c:pt idx="0">
                  <c:v>Logística</c:v>
                </c:pt>
                <c:pt idx="1">
                  <c:v>Lajes Corporativas</c:v>
                </c:pt>
                <c:pt idx="2">
                  <c:v>Shoppings</c:v>
                </c:pt>
                <c:pt idx="3">
                  <c:v>Papel (CRI)</c:v>
                </c:pt>
                <c:pt idx="4">
                  <c:v>Fundo de Fundos</c:v>
                </c:pt>
                <c:pt idx="5">
                  <c:v>Híbrido</c:v>
                </c:pt>
              </c:strCache>
            </c:strRef>
          </c:cat>
          <c:val>
            <c:numRef>
              <c:f>Simulador!$D$36:$D$41</c:f>
              <c:numCache>
                <c:formatCode>"R$ "#,##0.00;"(R$ "#,##0.00\);\-</c:formatCode>
                <c:ptCount val="6"/>
                <c:pt idx="0">
                  <c:v>150</c:v>
                </c:pt>
                <c:pt idx="1">
                  <c:v>150</c:v>
                </c:pt>
                <c:pt idx="2">
                  <c:v>250</c:v>
                </c:pt>
                <c:pt idx="3">
                  <c:v>100</c:v>
                </c:pt>
                <c:pt idx="4">
                  <c:v>200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61B-4DD7-BE41-8279F8BD2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32</xdr:row>
      <xdr:rowOff>0</xdr:rowOff>
    </xdr:from>
    <xdr:to>
      <xdr:col>12</xdr:col>
      <xdr:colOff>387360</xdr:colOff>
      <xdr:row>48</xdr:row>
      <xdr:rowOff>11520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2"/>
  <sheetViews>
    <sheetView showGridLines="0" tabSelected="1" zoomScaleNormal="100" workbookViewId="0">
      <selection activeCell="D45" sqref="D45"/>
    </sheetView>
  </sheetViews>
  <sheetFormatPr defaultColWidth="8.6640625" defaultRowHeight="14.4" x14ac:dyDescent="0.3"/>
  <cols>
    <col min="1" max="1" width="3" customWidth="1"/>
    <col min="2" max="2" width="46" customWidth="1"/>
    <col min="3" max="5" width="22" customWidth="1"/>
    <col min="6" max="6" width="3" customWidth="1"/>
    <col min="7" max="14" width="11" customWidth="1"/>
  </cols>
  <sheetData>
    <row r="1" spans="2:14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x14ac:dyDescent="0.3">
      <c r="B4" s="2" t="s">
        <v>1</v>
      </c>
    </row>
    <row r="5" spans="2:14" x14ac:dyDescent="0.3">
      <c r="B5" s="3" t="s">
        <v>2</v>
      </c>
      <c r="C5" s="3"/>
      <c r="D5" s="3"/>
      <c r="E5" s="3"/>
    </row>
    <row r="6" spans="2:14" x14ac:dyDescent="0.3">
      <c r="B6" s="4" t="s">
        <v>3</v>
      </c>
      <c r="C6" s="5">
        <v>1000</v>
      </c>
      <c r="D6" s="2" t="s">
        <v>4</v>
      </c>
    </row>
    <row r="7" spans="2:14" x14ac:dyDescent="0.3">
      <c r="B7" s="4" t="s">
        <v>5</v>
      </c>
      <c r="C7" s="6">
        <v>20</v>
      </c>
    </row>
    <row r="8" spans="2:14" x14ac:dyDescent="0.3">
      <c r="B8" s="4" t="s">
        <v>6</v>
      </c>
      <c r="C8" s="7">
        <f>rendimento_carteira</f>
        <v>8.0000000000000002E-3</v>
      </c>
      <c r="D8" s="2" t="s">
        <v>7</v>
      </c>
    </row>
    <row r="9" spans="2:14" x14ac:dyDescent="0.3">
      <c r="B9" s="4" t="s">
        <v>8</v>
      </c>
      <c r="C9" s="8">
        <f>anos*12</f>
        <v>240</v>
      </c>
    </row>
    <row r="11" spans="2:14" x14ac:dyDescent="0.3">
      <c r="B11" s="3" t="s">
        <v>9</v>
      </c>
      <c r="C11" s="3"/>
      <c r="D11" s="3"/>
      <c r="E11" s="3"/>
    </row>
    <row r="12" spans="2:14" x14ac:dyDescent="0.3">
      <c r="B12" s="9" t="s">
        <v>10</v>
      </c>
      <c r="C12" s="10">
        <f>-FV(taxa_mensal,prazo_meses,aporte)</f>
        <v>721131.21927512833</v>
      </c>
    </row>
    <row r="13" spans="2:14" x14ac:dyDescent="0.3">
      <c r="B13" s="9" t="s">
        <v>11</v>
      </c>
      <c r="C13" s="10">
        <f>patrimonio*taxa_mensal</f>
        <v>5769.0497542010271</v>
      </c>
    </row>
    <row r="14" spans="2:14" x14ac:dyDescent="0.3">
      <c r="B14" s="4" t="s">
        <v>12</v>
      </c>
      <c r="C14" s="11">
        <f>aporte*prazo_meses</f>
        <v>240000</v>
      </c>
    </row>
    <row r="16" spans="2:14" x14ac:dyDescent="0.3">
      <c r="B16" s="3" t="s">
        <v>13</v>
      </c>
      <c r="C16" s="3"/>
      <c r="D16" s="3"/>
      <c r="E16" s="3"/>
    </row>
    <row r="17" spans="2:5" x14ac:dyDescent="0.3">
      <c r="B17" s="12" t="s">
        <v>14</v>
      </c>
      <c r="C17" s="12" t="s">
        <v>15</v>
      </c>
      <c r="D17" s="12" t="s">
        <v>16</v>
      </c>
    </row>
    <row r="18" spans="2:5" x14ac:dyDescent="0.3">
      <c r="B18" s="13">
        <v>2</v>
      </c>
      <c r="C18" s="11">
        <f>-FV(taxa_mensal,$B18*12,aporte)</f>
        <v>26343.155111119566</v>
      </c>
      <c r="D18" s="11">
        <f>C18*taxa_mensal</f>
        <v>210.74524088895654</v>
      </c>
    </row>
    <row r="19" spans="2:5" x14ac:dyDescent="0.3">
      <c r="B19" s="13">
        <v>5</v>
      </c>
      <c r="C19" s="11">
        <f>-FV(taxa_mensal,$B19*12,aporte)</f>
        <v>76623.866831880223</v>
      </c>
      <c r="D19" s="11">
        <f>C19*taxa_mensal</f>
        <v>612.99093465504177</v>
      </c>
    </row>
    <row r="20" spans="2:5" x14ac:dyDescent="0.3">
      <c r="B20" s="13">
        <v>10</v>
      </c>
      <c r="C20" s="11">
        <f>-FV(taxa_mensal,$B20*12,aporte)</f>
        <v>200217.46940991812</v>
      </c>
      <c r="D20" s="11">
        <f>C20*taxa_mensal</f>
        <v>1601.739755279345</v>
      </c>
    </row>
    <row r="21" spans="2:5" x14ac:dyDescent="0.3">
      <c r="B21" s="13">
        <v>20</v>
      </c>
      <c r="C21" s="11">
        <f>-FV(taxa_mensal,$B21*12,aporte)</f>
        <v>721131.21927512833</v>
      </c>
      <c r="D21" s="11">
        <f>C21*taxa_mensal</f>
        <v>5769.0497542010271</v>
      </c>
    </row>
    <row r="22" spans="2:5" x14ac:dyDescent="0.3">
      <c r="B22" s="13">
        <v>30</v>
      </c>
      <c r="C22" s="11">
        <f>-FV(taxa_mensal,$B22*12,aporte)</f>
        <v>2076413.2313710852</v>
      </c>
      <c r="D22" s="11">
        <f>C22*taxa_mensal</f>
        <v>16611.305850968682</v>
      </c>
    </row>
    <row r="24" spans="2:5" x14ac:dyDescent="0.3">
      <c r="B24" s="3" t="s">
        <v>17</v>
      </c>
      <c r="C24" s="3"/>
      <c r="D24" s="3"/>
      <c r="E24" s="3"/>
    </row>
    <row r="25" spans="2:5" x14ac:dyDescent="0.3">
      <c r="B25" s="4" t="s">
        <v>18</v>
      </c>
      <c r="C25" s="5">
        <v>5000</v>
      </c>
      <c r="D25" s="2" t="s">
        <v>4</v>
      </c>
    </row>
    <row r="26" spans="2:5" x14ac:dyDescent="0.3">
      <c r="B26" s="4" t="s">
        <v>19</v>
      </c>
      <c r="C26" s="14">
        <v>8.0000000000000002E-3</v>
      </c>
      <c r="D26" s="2" t="s">
        <v>20</v>
      </c>
    </row>
    <row r="27" spans="2:5" x14ac:dyDescent="0.3">
      <c r="B27" s="4" t="s">
        <v>21</v>
      </c>
      <c r="C27" s="15">
        <v>0.3</v>
      </c>
    </row>
    <row r="28" spans="2:5" x14ac:dyDescent="0.3">
      <c r="B28" s="4" t="s">
        <v>22</v>
      </c>
      <c r="C28" s="11">
        <f>salario*perc_aporte</f>
        <v>1500</v>
      </c>
    </row>
    <row r="30" spans="2:5" x14ac:dyDescent="0.3">
      <c r="B30" s="9" t="s">
        <v>23</v>
      </c>
      <c r="C30" s="10">
        <f>-FV(taxa_mensal,prazo_meses,sugestao_aporte)</f>
        <v>1081696.8289126926</v>
      </c>
    </row>
    <row r="31" spans="2:5" x14ac:dyDescent="0.3">
      <c r="B31" s="9" t="s">
        <v>24</v>
      </c>
      <c r="C31" s="10">
        <f>C30*taxa_mensal</f>
        <v>8653.5746313015406</v>
      </c>
    </row>
    <row r="33" spans="2:5" x14ac:dyDescent="0.3">
      <c r="B33" s="3" t="s">
        <v>25</v>
      </c>
      <c r="C33" s="3"/>
      <c r="D33" s="3"/>
      <c r="E33" s="3"/>
    </row>
    <row r="34" spans="2:5" x14ac:dyDescent="0.3">
      <c r="B34" s="9" t="s">
        <v>26</v>
      </c>
      <c r="C34" s="16" t="s">
        <v>44</v>
      </c>
    </row>
    <row r="35" spans="2:5" x14ac:dyDescent="0.3">
      <c r="B35" s="12" t="s">
        <v>28</v>
      </c>
      <c r="C35" s="12" t="s">
        <v>29</v>
      </c>
      <c r="D35" s="12" t="s">
        <v>30</v>
      </c>
    </row>
    <row r="36" spans="2:5" x14ac:dyDescent="0.3">
      <c r="B36" s="4" t="s">
        <v>31</v>
      </c>
      <c r="C36" s="17">
        <f t="shared" ref="C36:C41" si="0">VLOOKUP(perfil&amp;"|"&amp;$B36,tabela_perfil,4,FALSE())</f>
        <v>0.15</v>
      </c>
      <c r="D36" s="11">
        <f t="shared" ref="D36:D41" si="1">aporte*C36</f>
        <v>150</v>
      </c>
    </row>
    <row r="37" spans="2:5" x14ac:dyDescent="0.3">
      <c r="B37" s="4" t="s">
        <v>32</v>
      </c>
      <c r="C37" s="17">
        <f t="shared" si="0"/>
        <v>0.15</v>
      </c>
      <c r="D37" s="11">
        <f t="shared" si="1"/>
        <v>150</v>
      </c>
    </row>
    <row r="38" spans="2:5" x14ac:dyDescent="0.3">
      <c r="B38" s="4" t="s">
        <v>33</v>
      </c>
      <c r="C38" s="17">
        <f t="shared" si="0"/>
        <v>0.25</v>
      </c>
      <c r="D38" s="11">
        <f t="shared" si="1"/>
        <v>250</v>
      </c>
    </row>
    <row r="39" spans="2:5" x14ac:dyDescent="0.3">
      <c r="B39" s="4" t="s">
        <v>34</v>
      </c>
      <c r="C39" s="17">
        <f t="shared" si="0"/>
        <v>0.1</v>
      </c>
      <c r="D39" s="11">
        <f t="shared" si="1"/>
        <v>100</v>
      </c>
    </row>
    <row r="40" spans="2:5" x14ac:dyDescent="0.3">
      <c r="B40" s="4" t="s">
        <v>35</v>
      </c>
      <c r="C40" s="17">
        <f t="shared" si="0"/>
        <v>0.2</v>
      </c>
      <c r="D40" s="11">
        <f t="shared" si="1"/>
        <v>200</v>
      </c>
    </row>
    <row r="41" spans="2:5" x14ac:dyDescent="0.3">
      <c r="B41" s="4" t="s">
        <v>36</v>
      </c>
      <c r="C41" s="17">
        <f t="shared" si="0"/>
        <v>0.15</v>
      </c>
      <c r="D41" s="11">
        <f t="shared" si="1"/>
        <v>150</v>
      </c>
    </row>
    <row r="42" spans="2:5" x14ac:dyDescent="0.3">
      <c r="B42" s="18" t="s">
        <v>37</v>
      </c>
      <c r="C42" s="19">
        <f>SUM(C36:C41)</f>
        <v>1</v>
      </c>
      <c r="D42" s="10">
        <f>SUM(D36:D41)</f>
        <v>1000</v>
      </c>
      <c r="E42" s="18" t="str">
        <f>IF(ROUND(C42,6)=1,"✔ soma 100%","⚠ revisar percentuais")</f>
        <v>✔ soma 100%</v>
      </c>
    </row>
  </sheetData>
  <mergeCells count="1">
    <mergeCell ref="B1:N3"/>
  </mergeCells>
  <dataValidations count="1">
    <dataValidation type="list" showErrorMessage="1" errorTitle="Perfil inválido" error="Escolha um perfil da lista." sqref="C34" xr:uid="{00000000-0002-0000-0000-000000000000}">
      <formula1>lista_perfis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zoomScaleNormal="100" workbookViewId="0">
      <selection activeCell="B8" sqref="B8"/>
    </sheetView>
  </sheetViews>
  <sheetFormatPr defaultColWidth="8.6640625" defaultRowHeight="14.4" x14ac:dyDescent="0.3"/>
  <cols>
    <col min="1" max="1" width="30" customWidth="1"/>
    <col min="2" max="2" width="16" customWidth="1"/>
    <col min="3" max="3" width="22" customWidth="1"/>
    <col min="4" max="4" width="14" customWidth="1"/>
    <col min="5" max="5" width="3" customWidth="1"/>
    <col min="6" max="6" width="16" customWidth="1"/>
    <col min="7" max="7" width="14" customWidth="1"/>
  </cols>
  <sheetData>
    <row r="1" spans="1:7" x14ac:dyDescent="0.3">
      <c r="A1" s="20" t="s">
        <v>38</v>
      </c>
      <c r="B1" s="20" t="s">
        <v>39</v>
      </c>
      <c r="C1" s="20" t="s">
        <v>28</v>
      </c>
      <c r="D1" s="20" t="s">
        <v>40</v>
      </c>
      <c r="F1" s="20" t="s">
        <v>41</v>
      </c>
      <c r="G1" s="20" t="s">
        <v>42</v>
      </c>
    </row>
    <row r="2" spans="1:7" x14ac:dyDescent="0.3">
      <c r="A2" s="21" t="str">
        <f t="shared" ref="A2:A19" si="0">B2&amp;"|"&amp;C2</f>
        <v>Conservador|Logística</v>
      </c>
      <c r="B2" s="4" t="s">
        <v>43</v>
      </c>
      <c r="C2" s="4" t="s">
        <v>31</v>
      </c>
      <c r="D2" s="22">
        <v>0.25</v>
      </c>
      <c r="F2" s="4" t="s">
        <v>43</v>
      </c>
      <c r="G2" s="23">
        <f>SUMIF($B$2:$B$19,F2,$D$2:$D$19)</f>
        <v>1</v>
      </c>
    </row>
    <row r="3" spans="1:7" x14ac:dyDescent="0.3">
      <c r="A3" s="21" t="str">
        <f t="shared" si="0"/>
        <v>Conservador|Lajes Corporativas</v>
      </c>
      <c r="B3" s="4" t="s">
        <v>43</v>
      </c>
      <c r="C3" s="4" t="s">
        <v>32</v>
      </c>
      <c r="D3" s="22">
        <v>0.1</v>
      </c>
      <c r="F3" s="4" t="s">
        <v>27</v>
      </c>
      <c r="G3" s="23">
        <f>SUMIF($B$2:$B$19,F3,$D$2:$D$19)</f>
        <v>1</v>
      </c>
    </row>
    <row r="4" spans="1:7" x14ac:dyDescent="0.3">
      <c r="A4" s="21" t="str">
        <f t="shared" si="0"/>
        <v>Conservador|Shoppings</v>
      </c>
      <c r="B4" s="4" t="s">
        <v>43</v>
      </c>
      <c r="C4" s="4" t="s">
        <v>33</v>
      </c>
      <c r="D4" s="22">
        <v>0.15</v>
      </c>
      <c r="F4" s="4" t="s">
        <v>44</v>
      </c>
      <c r="G4" s="23">
        <f>SUMIF($B$2:$B$19,F4,$D$2:$D$19)</f>
        <v>1</v>
      </c>
    </row>
    <row r="5" spans="1:7" x14ac:dyDescent="0.3">
      <c r="A5" s="21" t="str">
        <f t="shared" si="0"/>
        <v>Conservador|Papel (CRI)</v>
      </c>
      <c r="B5" s="4" t="s">
        <v>43</v>
      </c>
      <c r="C5" s="4" t="s">
        <v>34</v>
      </c>
      <c r="D5" s="22">
        <v>0.3</v>
      </c>
    </row>
    <row r="6" spans="1:7" x14ac:dyDescent="0.3">
      <c r="A6" s="21" t="str">
        <f t="shared" si="0"/>
        <v>Conservador|Fundo de Fundos</v>
      </c>
      <c r="B6" s="4" t="s">
        <v>43</v>
      </c>
      <c r="C6" s="4" t="s">
        <v>35</v>
      </c>
      <c r="D6" s="22">
        <v>0.15</v>
      </c>
    </row>
    <row r="7" spans="1:7" x14ac:dyDescent="0.3">
      <c r="A7" s="21" t="str">
        <f t="shared" si="0"/>
        <v>Conservador|Híbrido</v>
      </c>
      <c r="B7" s="4" t="s">
        <v>43</v>
      </c>
      <c r="C7" s="4" t="s">
        <v>36</v>
      </c>
      <c r="D7" s="22">
        <v>0.05</v>
      </c>
    </row>
    <row r="8" spans="1:7" x14ac:dyDescent="0.3">
      <c r="A8" s="21" t="str">
        <f t="shared" si="0"/>
        <v>Moderado|Logística</v>
      </c>
      <c r="B8" s="4" t="s">
        <v>27</v>
      </c>
      <c r="C8" s="4" t="s">
        <v>31</v>
      </c>
      <c r="D8" s="22">
        <v>0.2</v>
      </c>
    </row>
    <row r="9" spans="1:7" x14ac:dyDescent="0.3">
      <c r="A9" s="21" t="str">
        <f t="shared" si="0"/>
        <v>Moderado|Lajes Corporativas</v>
      </c>
      <c r="B9" s="4" t="s">
        <v>27</v>
      </c>
      <c r="C9" s="4" t="s">
        <v>32</v>
      </c>
      <c r="D9" s="22">
        <v>0.15</v>
      </c>
    </row>
    <row r="10" spans="1:7" x14ac:dyDescent="0.3">
      <c r="A10" s="21" t="str">
        <f t="shared" si="0"/>
        <v>Moderado|Shoppings</v>
      </c>
      <c r="B10" s="4" t="s">
        <v>27</v>
      </c>
      <c r="C10" s="4" t="s">
        <v>33</v>
      </c>
      <c r="D10" s="22">
        <v>0.2</v>
      </c>
    </row>
    <row r="11" spans="1:7" x14ac:dyDescent="0.3">
      <c r="A11" s="21" t="str">
        <f t="shared" si="0"/>
        <v>Moderado|Papel (CRI)</v>
      </c>
      <c r="B11" s="4" t="s">
        <v>27</v>
      </c>
      <c r="C11" s="4" t="s">
        <v>34</v>
      </c>
      <c r="D11" s="22">
        <v>0.2</v>
      </c>
    </row>
    <row r="12" spans="1:7" x14ac:dyDescent="0.3">
      <c r="A12" s="21" t="str">
        <f t="shared" si="0"/>
        <v>Moderado|Fundo de Fundos</v>
      </c>
      <c r="B12" s="4" t="s">
        <v>27</v>
      </c>
      <c r="C12" s="4" t="s">
        <v>35</v>
      </c>
      <c r="D12" s="22">
        <v>0.15</v>
      </c>
    </row>
    <row r="13" spans="1:7" x14ac:dyDescent="0.3">
      <c r="A13" s="21" t="str">
        <f t="shared" si="0"/>
        <v>Moderado|Híbrido</v>
      </c>
      <c r="B13" s="4" t="s">
        <v>27</v>
      </c>
      <c r="C13" s="4" t="s">
        <v>36</v>
      </c>
      <c r="D13" s="22">
        <v>0.1</v>
      </c>
    </row>
    <row r="14" spans="1:7" x14ac:dyDescent="0.3">
      <c r="A14" s="21" t="str">
        <f t="shared" si="0"/>
        <v>Arrojado|Logística</v>
      </c>
      <c r="B14" s="4" t="s">
        <v>44</v>
      </c>
      <c r="C14" s="4" t="s">
        <v>31</v>
      </c>
      <c r="D14" s="22">
        <v>0.15</v>
      </c>
    </row>
    <row r="15" spans="1:7" x14ac:dyDescent="0.3">
      <c r="A15" s="21" t="str">
        <f t="shared" si="0"/>
        <v>Arrojado|Lajes Corporativas</v>
      </c>
      <c r="B15" s="4" t="s">
        <v>44</v>
      </c>
      <c r="C15" s="4" t="s">
        <v>32</v>
      </c>
      <c r="D15" s="22">
        <v>0.15</v>
      </c>
    </row>
    <row r="16" spans="1:7" x14ac:dyDescent="0.3">
      <c r="A16" s="21" t="str">
        <f t="shared" si="0"/>
        <v>Arrojado|Shoppings</v>
      </c>
      <c r="B16" s="4" t="s">
        <v>44</v>
      </c>
      <c r="C16" s="4" t="s">
        <v>33</v>
      </c>
      <c r="D16" s="22">
        <v>0.25</v>
      </c>
    </row>
    <row r="17" spans="1:4" x14ac:dyDescent="0.3">
      <c r="A17" s="21" t="str">
        <f t="shared" si="0"/>
        <v>Arrojado|Papel (CRI)</v>
      </c>
      <c r="B17" s="4" t="s">
        <v>44</v>
      </c>
      <c r="C17" s="4" t="s">
        <v>34</v>
      </c>
      <c r="D17" s="22">
        <v>0.1</v>
      </c>
    </row>
    <row r="18" spans="1:4" x14ac:dyDescent="0.3">
      <c r="A18" s="21" t="str">
        <f t="shared" si="0"/>
        <v>Arrojado|Fundo de Fundos</v>
      </c>
      <c r="B18" s="4" t="s">
        <v>44</v>
      </c>
      <c r="C18" s="4" t="s">
        <v>35</v>
      </c>
      <c r="D18" s="22">
        <v>0.2</v>
      </c>
    </row>
    <row r="19" spans="1:4" x14ac:dyDescent="0.3">
      <c r="A19" s="21" t="str">
        <f t="shared" si="0"/>
        <v>Arrojado|Híbrido</v>
      </c>
      <c r="B19" s="4" t="s">
        <v>44</v>
      </c>
      <c r="C19" s="4" t="s">
        <v>36</v>
      </c>
      <c r="D19" s="22">
        <v>0.15</v>
      </c>
    </row>
    <row r="21" spans="1:4" x14ac:dyDescent="0.3">
      <c r="A21" s="2" t="s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13</vt:i4>
      </vt:variant>
    </vt:vector>
  </HeadingPairs>
  <TitlesOfParts>
    <vt:vector size="15" baseType="lpstr">
      <vt:lpstr>Simulador</vt:lpstr>
      <vt:lpstr>Apoio</vt:lpstr>
      <vt:lpstr>anos</vt:lpstr>
      <vt:lpstr>aporte</vt:lpstr>
      <vt:lpstr>dividendos_mensais</vt:lpstr>
      <vt:lpstr>lista_perfis</vt:lpstr>
      <vt:lpstr>patrimonio</vt:lpstr>
      <vt:lpstr>perc_aporte</vt:lpstr>
      <vt:lpstr>perfil</vt:lpstr>
      <vt:lpstr>prazo_meses</vt:lpstr>
      <vt:lpstr>rendimento_carteira</vt:lpstr>
      <vt:lpstr>salario</vt:lpstr>
      <vt:lpstr>sugestao_aporte</vt:lpstr>
      <vt:lpstr>tabela_perfil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Douglas Rezende</cp:lastModifiedBy>
  <cp:revision>1</cp:revision>
  <dcterms:created xsi:type="dcterms:W3CDTF">2026-10-07T01:08:29Z</dcterms:created>
  <dcterms:modified xsi:type="dcterms:W3CDTF">2026-10-10T20:41:48Z</dcterms:modified>
  <dc:language>en-US</dc:language>
</cp:coreProperties>
</file>